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aron/github/slipstream/"/>
    </mc:Choice>
  </mc:AlternateContent>
  <xr:revisionPtr revIDLastSave="0" documentId="13_ncr:1_{ACA59837-B590-F74F-917A-C473D50097DD}" xr6:coauthVersionLast="47" xr6:coauthVersionMax="47" xr10:uidLastSave="{00000000-0000-0000-0000-000000000000}"/>
  <bookViews>
    <workbookView xWindow="39560" yWindow="5000" windowWidth="28040" windowHeight="23240" xr2:uid="{1A20C3FE-12CA-CF4E-93FC-B4FB38CAC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51" i="1" l="1"/>
  <c r="E20" i="1"/>
  <c r="E10" i="1"/>
  <c r="E9" i="1"/>
  <c r="E5" i="1"/>
  <c r="E4" i="1"/>
  <c r="E7" i="1"/>
  <c r="E6" i="1"/>
  <c r="E42" i="1"/>
  <c r="E28" i="1"/>
  <c r="E37" i="1"/>
  <c r="E36" i="1"/>
  <c r="E29" i="1"/>
  <c r="E50" i="1"/>
  <c r="E44" i="1"/>
  <c r="E45" i="1"/>
  <c r="E39" i="1"/>
  <c r="E40" i="1"/>
  <c r="E41" i="1"/>
  <c r="E27" i="1"/>
  <c r="E18" i="1" l="1"/>
  <c r="E26" i="1"/>
  <c r="E25" i="1"/>
  <c r="E24" i="1"/>
  <c r="E32" i="1"/>
  <c r="E33" i="1"/>
  <c r="E34" i="1"/>
  <c r="E35" i="1"/>
  <c r="E31" i="1"/>
  <c r="E21" i="1"/>
  <c r="E19" i="1"/>
  <c r="E22" i="1"/>
  <c r="E23" i="1"/>
  <c r="E47" i="1"/>
  <c r="E48" i="1"/>
  <c r="E49" i="1"/>
  <c r="E17" i="1"/>
  <c r="E12" i="1"/>
  <c r="E13" i="1"/>
  <c r="E16" i="1"/>
  <c r="E87" i="1" l="1"/>
  <c r="E88" i="1" s="1"/>
</calcChain>
</file>

<file path=xl/sharedStrings.xml><?xml version="1.0" encoding="utf-8"?>
<sst xmlns="http://schemas.openxmlformats.org/spreadsheetml/2006/main" count="101" uniqueCount="99">
  <si>
    <t>Part Name</t>
  </si>
  <si>
    <t>Frame</t>
  </si>
  <si>
    <t>Count</t>
  </si>
  <si>
    <t>Cost Each</t>
  </si>
  <si>
    <t>Total Part Cost</t>
  </si>
  <si>
    <t>2020 Frame Block 8x</t>
  </si>
  <si>
    <t>Gantry</t>
  </si>
  <si>
    <t>2504 - 80mm shaft 48mm stepper</t>
  </si>
  <si>
    <t>GE5C Bearing 4-piece</t>
  </si>
  <si>
    <t>Sherpa Mini</t>
  </si>
  <si>
    <t>TZ-V6 2.0</t>
  </si>
  <si>
    <t>M2 heat inserts 100ct</t>
  </si>
  <si>
    <t>M5 heat inserts 100ct</t>
  </si>
  <si>
    <t>General</t>
  </si>
  <si>
    <t>Electronics</t>
  </si>
  <si>
    <t>Meanwell LRS-350-48</t>
  </si>
  <si>
    <t>Meanwell LRS-350-24</t>
  </si>
  <si>
    <t>BTT Kraken</t>
  </si>
  <si>
    <t>Fused IEC inlet</t>
  </si>
  <si>
    <t>9mm GT2 Timing Belt (10m)</t>
  </si>
  <si>
    <t>9mm GT2 Drive Pulley (10x)</t>
  </si>
  <si>
    <t>9mm GT2 Idler Pulley (10x)</t>
  </si>
  <si>
    <t>Z axis</t>
  </si>
  <si>
    <t>3mm x 18mm steel dowel (100 count)</t>
  </si>
  <si>
    <t>TOTAL</t>
  </si>
  <si>
    <t>TOTAL REMAINING</t>
  </si>
  <si>
    <t>Bed</t>
  </si>
  <si>
    <t>235mm PEI build plate</t>
  </si>
  <si>
    <t>Notes</t>
  </si>
  <si>
    <t>Creality 42-34 or comparable (14-18mm shaft length)</t>
  </si>
  <si>
    <t>Stepperonline MG17-G10 Gearbox</t>
  </si>
  <si>
    <t>GT2 20 tooth pulley/8mm bore/6mm belt (5 pack)</t>
  </si>
  <si>
    <t>235mm heated bed (any 4-point bed will do)</t>
  </si>
  <si>
    <t>Glass</t>
  </si>
  <si>
    <t>Rubber Feet</t>
  </si>
  <si>
    <t>m5x8mmx1mm shims 50pk</t>
  </si>
  <si>
    <t>Cartographer V4</t>
  </si>
  <si>
    <t>CAN wire</t>
  </si>
  <si>
    <t>m5x8mmx0.5mm shims 100pk</t>
  </si>
  <si>
    <t>15x15mm Cable Chain</t>
  </si>
  <si>
    <t>Toolhead</t>
  </si>
  <si>
    <t>TZ-V6 2.0 (Choose any Dragon-compatible hotend)</t>
  </si>
  <si>
    <t>Pretty sure this is a 2.0, so should be compatible with V6 nozzles</t>
  </si>
  <si>
    <t>Fysetc CNC Sherpa Mini</t>
  </si>
  <si>
    <t>GDSTIME 4020 Fans</t>
  </si>
  <si>
    <t>WINSINN 3010 Fans</t>
  </si>
  <si>
    <t>Acrylic Panels - SendCutSend Cart</t>
  </si>
  <si>
    <t>5mm EVA foam tape</t>
  </si>
  <si>
    <t>Double this up - one strip on the frame side, one strip on the glass side. It will compress a bit</t>
  </si>
  <si>
    <t>There are more lightweight options</t>
  </si>
  <si>
    <t>Purchased?</t>
  </si>
  <si>
    <t>5mm to 5mm Shaft Coupling 10pcs</t>
  </si>
  <si>
    <t>Raspberry Pi 3B+ or newer</t>
  </si>
  <si>
    <t>2020 Extrusion - 400mm 10pcs</t>
  </si>
  <si>
    <t>2020 Extrusion - 350mm 4pcs</t>
  </si>
  <si>
    <t>This cart is applicable if you're building a 220mm variant.</t>
  </si>
  <si>
    <t>Nicer option here. If you choose this, upgrade the 24v PSU to an LRS-350-24 or plan on getting an AC heater + a relay</t>
  </si>
  <si>
    <t>Needed if going with steppers that don't have 80mm shafts. Recommend ~23mm shaft length from mounting face of stepper (OMC 17HS19-2004S1 are a good fit)</t>
  </si>
  <si>
    <t>Only substitute exact dimensions</t>
  </si>
  <si>
    <t>M3 heat inserts 100ct</t>
  </si>
  <si>
    <t>Fasteners</t>
  </si>
  <si>
    <t>Hexagon Socket Button Head Screw ISO 7380-1 - M3 x 10 Steel 4.6 Plain</t>
  </si>
  <si>
    <t>Hexagon Socket Button Head Screw ISO 7380-1 - M3 x 16 Steel 4.6 Plain</t>
  </si>
  <si>
    <t>Hexagon Socket Button Head Screw ISO 7380-1 - M3 x 30 Steel 4.6 Plain</t>
  </si>
  <si>
    <t>Hexagon Socket Button Head Screw ISO 7380-1 - M3 x 55 Steel 4.6 Plain</t>
  </si>
  <si>
    <t>Hexagon Socket Button Head Screw ISO 7380-1 - M3 x 6 Steel 4.6 Plain</t>
  </si>
  <si>
    <t>Hexagon Socket Button Head Screw ISO 7380-1 - M3 x 8 Steel 4.6 Plain</t>
  </si>
  <si>
    <t>Hexagon Socket Button Head Screw ISO 7380-1 - M5 x 10 Steel 4.6 Plain</t>
  </si>
  <si>
    <t>Hexagon Socket Button Head Screw ISO 7380-1 - M5 x 12 Steel 4.6 Plain</t>
  </si>
  <si>
    <t>Hexagon Socket Button Head Screw ISO 7380-1 - M5 x 16 Steel 4.6 Plain</t>
  </si>
  <si>
    <t>Hexagon Socket Button Head Screw ISO 7380-1 - M5 x 20 Steel 4.6 Plain</t>
  </si>
  <si>
    <t>Hexagon Socket Button Head Screw ISO 7380-1 - M5 x 25 Steel 4.6 Plain</t>
  </si>
  <si>
    <t>Hexagon Socket Button Head Screw ISO 7380-1 - M5 x 30 Steel 4.6 Plain</t>
  </si>
  <si>
    <t>Hexagon Socket Button Head Screw ISO 7380-1 - M5 x 60 Steel 4.6 Plain</t>
  </si>
  <si>
    <t>Hexagon Socket Button Head Screw ISO 7380-1 - M5 x 75 Steel 4.6 Plain</t>
  </si>
  <si>
    <t>Hexagon Socket Button Head Screw ISO 7380-1 - M5 x 8 Steel 4.6 Plain</t>
  </si>
  <si>
    <t>Hexagon Socket Button Head Screw ISO 7380-1 - M5 x 90 Steel 4.6 Plain</t>
  </si>
  <si>
    <t>Hexagon Socket Head Cap Screw DIN 912 - M3 x 0.5 x 12 Steel 4.6 Plain</t>
  </si>
  <si>
    <t>Hexagon Socket Head Cap Screw DIN 912 - M3 x 0.5 x 16 Steel 4.6 Plain</t>
  </si>
  <si>
    <t>Hexagon Socket Head Cap Screw DIN 912 - M3 x 0.5 x 20 Steel 4.6 Plain</t>
  </si>
  <si>
    <t>Hexagon Socket Head Cap Screw DIN 912 - M3 x 0.5 x 25 Steel 4.6 Plain</t>
  </si>
  <si>
    <t>Hexagon Socket Head Cap Screw DIN 912 - M3 x 0.5 x 8 Steel 4.6 Plain</t>
  </si>
  <si>
    <t>Hexagon Socket Head Cap Screw DIN 912 - M4 x 0.7 x 12 Steel 4.6 Plain</t>
  </si>
  <si>
    <t>Hexagon Socket Head Cap Screw DIN 912 - M5 x 0.8 x 10 Steel 4.6 Plain</t>
  </si>
  <si>
    <t>M3 hexagon socket screw head</t>
  </si>
  <si>
    <t>M3x5x4mm Heated Insert</t>
  </si>
  <si>
    <t>M5 Heat Insert</t>
  </si>
  <si>
    <t>M3 Heat Insert</t>
  </si>
  <si>
    <t>M2.5 Heat Insert</t>
  </si>
  <si>
    <t>M2 Heat Insert</t>
  </si>
  <si>
    <t>M3x30 Socket Cap Screw</t>
  </si>
  <si>
    <t>There are likely some fasteners missed in this list.</t>
  </si>
  <si>
    <t>MGN12C 350mm</t>
  </si>
  <si>
    <t>MGN12H 350mm</t>
  </si>
  <si>
    <t>These are for the cross rails. In the future, the outside rails of the gantry will likely move to MGN12C to cut down weight as well.</t>
  </si>
  <si>
    <t>Slipstream BOM - Beta</t>
  </si>
  <si>
    <t>Cable Chain</t>
  </si>
  <si>
    <t>Fasteners are a rough minimum.  Be prepared to purchase extras</t>
  </si>
  <si>
    <t>2020 90 Degree Frame Block 12x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</si>
</sst>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867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8" fontId="0" fillId="0" borderId="0" xfId="0" applyNumberFormat="1"/>
    <xf numFmtId="0" fontId="0" fillId="2" borderId="0" xfId="0" applyFill="1"/>
    <xf numFmtId="0" fontId="1" fillId="0" borderId="0" xfId="0" applyFont="1"/>
    <xf numFmtId="0" fontId="2" fillId="2" borderId="0" xfId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1"/>
    <xf numFmtId="164" fontId="0" fillId="0" borderId="0" xfId="0" applyNumberFormat="1"/>
    <xf numFmtId="164" fontId="0" fillId="2" borderId="0" xfId="0" applyNumberFormat="1" applyFill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86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com/dp/B0CRNQYDFN" TargetMode="External"/><Relationship Id="rId18" Type="http://schemas.openxmlformats.org/officeDocument/2006/relationships/hyperlink" Target="https://www.amazon.com/dp/B0CNKBZFK8" TargetMode="External"/><Relationship Id="rId26" Type="http://schemas.openxmlformats.org/officeDocument/2006/relationships/hyperlink" Target="https://www.amazon.com/Qjaiune-IEC320-Socket-Rocker-Switch/dp/B09QFK6W2C" TargetMode="External"/><Relationship Id="rId39" Type="http://schemas.openxmlformats.org/officeDocument/2006/relationships/hyperlink" Target="https://www.amazon.com/dp/B0CMCDBJJF" TargetMode="External"/><Relationship Id="rId21" Type="http://schemas.openxmlformats.org/officeDocument/2006/relationships/hyperlink" Target="https://www.fabreeko.com/products/m5-precision-brass-shims-m5x7x0-5?variant=45416233468159" TargetMode="External"/><Relationship Id="rId34" Type="http://schemas.openxmlformats.org/officeDocument/2006/relationships/hyperlink" Target="https://www.amazon.com/235x235mm-Texture-Magnetic-Flexible-Creality/dp/B0CRDS6PRR" TargetMode="External"/><Relationship Id="rId42" Type="http://schemas.openxmlformats.org/officeDocument/2006/relationships/hyperlink" Target="https://www.amazon.com/dp/B0FRDJH8P2" TargetMode="External"/><Relationship Id="rId7" Type="http://schemas.openxmlformats.org/officeDocument/2006/relationships/hyperlink" Target="https://www.amazon.com/dp/B0B2P434PD" TargetMode="External"/><Relationship Id="rId2" Type="http://schemas.openxmlformats.org/officeDocument/2006/relationships/hyperlink" Target="https://www.amazon.com/dp/B0757N6B8P" TargetMode="External"/><Relationship Id="rId16" Type="http://schemas.openxmlformats.org/officeDocument/2006/relationships/hyperlink" Target="https://www.amazon.com/dp/B0D7P815FL" TargetMode="External"/><Relationship Id="rId20" Type="http://schemas.openxmlformats.org/officeDocument/2006/relationships/hyperlink" Target="https://www.amazon.com/dp/B0CF9H1R76" TargetMode="External"/><Relationship Id="rId29" Type="http://schemas.openxmlformats.org/officeDocument/2006/relationships/hyperlink" Target="https://www.amazon.com/Creality-Official-42-34-3D-Compatible/dp/B09LQKWF7F" TargetMode="External"/><Relationship Id="rId41" Type="http://schemas.openxmlformats.org/officeDocument/2006/relationships/hyperlink" Target="https://www.amazon.com/dp/B07QLGWQ1L" TargetMode="External"/><Relationship Id="rId1" Type="http://schemas.openxmlformats.org/officeDocument/2006/relationships/hyperlink" Target="https://www.amazon.com/dp/B0DLKJ7WDJ" TargetMode="External"/><Relationship Id="rId6" Type="http://schemas.openxmlformats.org/officeDocument/2006/relationships/hyperlink" Target="https://www.amazon.com/dp/B07L6LGMWC" TargetMode="External"/><Relationship Id="rId11" Type="http://schemas.openxmlformats.org/officeDocument/2006/relationships/hyperlink" Target="https://www.amazon.com/dp/B07KFL96TQ" TargetMode="External"/><Relationship Id="rId24" Type="http://schemas.openxmlformats.org/officeDocument/2006/relationships/hyperlink" Target="https://www.amazon.com/BIGTREETECH-Control-Onboard-8%C3%97TMC2160-Drivers/dp/B0F7RQY6Z4" TargetMode="External"/><Relationship Id="rId32" Type="http://schemas.openxmlformats.org/officeDocument/2006/relationships/hyperlink" Target="https://www.amazon.com/dp/B07QYM88MQ" TargetMode="External"/><Relationship Id="rId37" Type="http://schemas.openxmlformats.org/officeDocument/2006/relationships/hyperlink" Target="https://www.amazon.com/dp/B0F8HMZHTK" TargetMode="External"/><Relationship Id="rId40" Type="http://schemas.openxmlformats.org/officeDocument/2006/relationships/hyperlink" Target="https://www.amazon.com/uxcell-Sliding-Carriage-Guideway-Engraving/dp/B0G5Y83MMT" TargetMode="External"/><Relationship Id="rId5" Type="http://schemas.openxmlformats.org/officeDocument/2006/relationships/hyperlink" Target="https://cart.sendcutsend.com/7f6jah4ereyv" TargetMode="External"/><Relationship Id="rId15" Type="http://schemas.openxmlformats.org/officeDocument/2006/relationships/hyperlink" Target="https://www.amazon.com/FYSETC-Upgraded-Sailfish-Voron2-4-Printer/dp/B0FY6296ZZ" TargetMode="External"/><Relationship Id="rId23" Type="http://schemas.openxmlformats.org/officeDocument/2006/relationships/hyperlink" Target="https://www.amazon.com/MEAN-WELL-LRS-350-24-350-4W-Switchable/dp/B013ETVO12" TargetMode="External"/><Relationship Id="rId28" Type="http://schemas.openxmlformats.org/officeDocument/2006/relationships/hyperlink" Target="https://cartographer3d.com/products/microfit-3-0-can-cable-for-ebb36" TargetMode="External"/><Relationship Id="rId36" Type="http://schemas.openxmlformats.org/officeDocument/2006/relationships/hyperlink" Target="https://www.amazon.com/dp/B08TRK72TR" TargetMode="External"/><Relationship Id="rId10" Type="http://schemas.openxmlformats.org/officeDocument/2006/relationships/hyperlink" Target="https://www.omc-stepperonline.com/nema-17-high-temp-stepper-motor-55ncm-77-93oz-in-80mm-5mm-d-cut-shaft-insulation-class-h-180c-17hs19-2504s-h-v5" TargetMode="External"/><Relationship Id="rId19" Type="http://schemas.openxmlformats.org/officeDocument/2006/relationships/hyperlink" Target="https://www.amazon.com/dp/B0D4575J9B" TargetMode="External"/><Relationship Id="rId31" Type="http://schemas.openxmlformats.org/officeDocument/2006/relationships/hyperlink" Target="https://www.amazon.com/dp/B077GMKW1C" TargetMode="External"/><Relationship Id="rId4" Type="http://schemas.openxmlformats.org/officeDocument/2006/relationships/hyperlink" Target="https://www.amazon.com/FYSETC-Extruder-Temperature-Resistance-Compatible/dp/B0C3QGKQY6" TargetMode="External"/><Relationship Id="rId9" Type="http://schemas.openxmlformats.org/officeDocument/2006/relationships/hyperlink" Target="https://www.amazon.com/dp/B0B7DWDSYG" TargetMode="External"/><Relationship Id="rId14" Type="http://schemas.openxmlformats.org/officeDocument/2006/relationships/hyperlink" Target="https://www.amazon.com/dp/B0CNPG9QB2" TargetMode="External"/><Relationship Id="rId22" Type="http://schemas.openxmlformats.org/officeDocument/2006/relationships/hyperlink" Target="https://www.amazon.com/LRS-350-48-Switching-180-264VAC-Industrial-Efficient/dp/B0DJW8CMNJ" TargetMode="External"/><Relationship Id="rId27" Type="http://schemas.openxmlformats.org/officeDocument/2006/relationships/hyperlink" Target="https://cartographer3d.com/products/cartographer-v4-aio-standard" TargetMode="External"/><Relationship Id="rId30" Type="http://schemas.openxmlformats.org/officeDocument/2006/relationships/hyperlink" Target="https://www.omc-stepperonline.com/mg-series-planetary-gearbox-gear-ratio-10-1-backlash-30-arc-min-for-nema-17-stepper-motor-mg17-g10" TargetMode="External"/><Relationship Id="rId35" Type="http://schemas.openxmlformats.org/officeDocument/2006/relationships/hyperlink" Target="https://www.amazon.com/dp/B0CTCQ6MHK" TargetMode="External"/><Relationship Id="rId8" Type="http://schemas.openxmlformats.org/officeDocument/2006/relationships/hyperlink" Target="https://www.amazon.com/dp/B0BG4TF813" TargetMode="External"/><Relationship Id="rId3" Type="http://schemas.openxmlformats.org/officeDocument/2006/relationships/hyperlink" Target="https://www.amazon.com/Upgraded-Ceramic-Heatbreak-Hardened-Compatible/dp/B0CP64WYQW" TargetMode="External"/><Relationship Id="rId12" Type="http://schemas.openxmlformats.org/officeDocument/2006/relationships/hyperlink" Target="https://www.amazon.com/CNCMANS-Miniature-Bearing-Printing-MGN12H-350mm/dp/B0BNQ99QWT" TargetMode="External"/><Relationship Id="rId17" Type="http://schemas.openxmlformats.org/officeDocument/2006/relationships/hyperlink" Target="https://www.amazon.com/dp/B0CNK9LKLV" TargetMode="External"/><Relationship Id="rId25" Type="http://schemas.openxmlformats.org/officeDocument/2006/relationships/hyperlink" Target="https://www.amazon.com/ELEMENT-Element14-Raspberry-Pi-Motherboard/dp/B07BDR5PDW" TargetMode="External"/><Relationship Id="rId33" Type="http://schemas.openxmlformats.org/officeDocument/2006/relationships/hyperlink" Target="https://www.amazon.com/Aluminum-Heatbed-235%C3%97235x3mm-Ender-3-Printers/dp/B08DRJM9S4" TargetMode="External"/><Relationship Id="rId38" Type="http://schemas.openxmlformats.org/officeDocument/2006/relationships/hyperlink" Target="https://www.amazon.com/Reliable-Hardware-Company-RH-1606-8-Amplifier/dp/B00JJ191Z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B665-411E-DC49-8B59-B2BCDE3E83A5}">
  <sheetPr codeName="Sheet1"/>
  <dimension ref="A1:G88"/>
  <sheetViews>
    <sheetView tabSelected="1" workbookViewId="0">
      <selection activeCell="G18" sqref="G18"/>
    </sheetView>
  </sheetViews>
  <sheetFormatPr baseColWidth="10" defaultRowHeight="16" x14ac:dyDescent="0.2"/>
  <cols>
    <col min="1" max="1" width="20" customWidth="1"/>
    <col min="2" max="2" width="59.5" bestFit="1" customWidth="1"/>
    <col min="4" max="4" width="12.83203125" bestFit="1" customWidth="1"/>
    <col min="5" max="5" width="13" bestFit="1" customWidth="1"/>
    <col min="6" max="6" width="13.83203125" bestFit="1" customWidth="1"/>
  </cols>
  <sheetData>
    <row r="1" spans="1:7" x14ac:dyDescent="0.2">
      <c r="A1" s="3" t="s">
        <v>95</v>
      </c>
      <c r="B1" s="10" t="s">
        <v>97</v>
      </c>
    </row>
    <row r="2" spans="1:7" x14ac:dyDescent="0.2">
      <c r="B2" s="3" t="s">
        <v>0</v>
      </c>
      <c r="C2" s="3" t="s">
        <v>2</v>
      </c>
      <c r="D2" s="3" t="s">
        <v>3</v>
      </c>
      <c r="E2" s="3" t="s">
        <v>4</v>
      </c>
      <c r="F2" s="3" t="s">
        <v>50</v>
      </c>
      <c r="G2" s="3" t="s">
        <v>28</v>
      </c>
    </row>
    <row r="3" spans="1:7" s="2" customFormat="1" x14ac:dyDescent="0.2">
      <c r="A3" s="2" t="s">
        <v>40</v>
      </c>
    </row>
    <row r="4" spans="1:7" s="2" customFormat="1" x14ac:dyDescent="0.2">
      <c r="B4" s="4" t="s">
        <v>44</v>
      </c>
      <c r="C4" s="2">
        <v>1</v>
      </c>
      <c r="D4" s="9">
        <v>12.99</v>
      </c>
      <c r="E4" s="9">
        <f>PRODUCT(C4,D4)</f>
        <v>12.99</v>
      </c>
      <c r="F4" s="6" t="b">
        <v>0</v>
      </c>
    </row>
    <row r="5" spans="1:7" s="2" customFormat="1" x14ac:dyDescent="0.2">
      <c r="B5" s="4" t="s">
        <v>45</v>
      </c>
      <c r="C5" s="2">
        <v>1</v>
      </c>
      <c r="D5" s="9">
        <v>7.99</v>
      </c>
      <c r="E5" s="9">
        <f>PRODUCT(C5,D5)</f>
        <v>7.99</v>
      </c>
      <c r="F5" s="6" t="b">
        <v>0</v>
      </c>
    </row>
    <row r="6" spans="1:7" s="2" customFormat="1" x14ac:dyDescent="0.2">
      <c r="B6" s="4" t="s">
        <v>41</v>
      </c>
      <c r="C6" s="2">
        <v>1</v>
      </c>
      <c r="D6" s="9">
        <v>28.99</v>
      </c>
      <c r="E6" s="9">
        <f>PRODUCT(C6,D6)</f>
        <v>28.99</v>
      </c>
      <c r="F6" s="6" t="b">
        <v>0</v>
      </c>
      <c r="G6" s="2" t="s">
        <v>42</v>
      </c>
    </row>
    <row r="7" spans="1:7" s="2" customFormat="1" x14ac:dyDescent="0.2">
      <c r="B7" s="4" t="s">
        <v>43</v>
      </c>
      <c r="C7" s="2">
        <v>1</v>
      </c>
      <c r="D7" s="9">
        <v>85.66</v>
      </c>
      <c r="E7" s="9">
        <f>PRODUCT(C7,D7)</f>
        <v>85.66</v>
      </c>
      <c r="F7" s="6" t="b">
        <v>0</v>
      </c>
      <c r="G7" s="2" t="s">
        <v>49</v>
      </c>
    </row>
    <row r="8" spans="1:7" x14ac:dyDescent="0.2">
      <c r="A8" t="s">
        <v>33</v>
      </c>
      <c r="D8" s="8"/>
    </row>
    <row r="9" spans="1:7" x14ac:dyDescent="0.2">
      <c r="B9" s="7" t="s">
        <v>46</v>
      </c>
      <c r="C9">
        <v>1</v>
      </c>
      <c r="D9" s="8">
        <v>179.73</v>
      </c>
      <c r="E9" s="8">
        <f t="shared" ref="E9:E10" si="0">PRODUCT(C9,D9)</f>
        <v>179.73</v>
      </c>
      <c r="F9" s="5" t="b">
        <v>0</v>
      </c>
      <c r="G9" t="s">
        <v>55</v>
      </c>
    </row>
    <row r="10" spans="1:7" x14ac:dyDescent="0.2">
      <c r="B10" s="7" t="s">
        <v>47</v>
      </c>
      <c r="C10">
        <v>4</v>
      </c>
      <c r="D10" s="8">
        <v>7.19</v>
      </c>
      <c r="E10" s="8">
        <f t="shared" si="0"/>
        <v>28.76</v>
      </c>
      <c r="F10" s="5" t="b">
        <v>0</v>
      </c>
      <c r="G10" t="s">
        <v>48</v>
      </c>
    </row>
    <row r="11" spans="1:7" s="2" customFormat="1" x14ac:dyDescent="0.2">
      <c r="A11" s="2" t="s">
        <v>1</v>
      </c>
    </row>
    <row r="12" spans="1:7" s="2" customFormat="1" x14ac:dyDescent="0.2">
      <c r="B12" s="4" t="s">
        <v>53</v>
      </c>
      <c r="C12" s="2">
        <v>2</v>
      </c>
      <c r="D12" s="9">
        <v>36.99</v>
      </c>
      <c r="E12" s="9">
        <f>PRODUCT(C12,D12)</f>
        <v>73.98</v>
      </c>
      <c r="F12" s="6" t="b">
        <v>0</v>
      </c>
    </row>
    <row r="13" spans="1:7" s="2" customFormat="1" x14ac:dyDescent="0.2">
      <c r="B13" s="4" t="s">
        <v>5</v>
      </c>
      <c r="C13" s="2">
        <v>2</v>
      </c>
      <c r="D13" s="9">
        <v>16.89</v>
      </c>
      <c r="E13" s="9">
        <f>PRODUCT(C13,D13)</f>
        <v>33.78</v>
      </c>
      <c r="F13" s="6" t="b">
        <v>0</v>
      </c>
    </row>
    <row r="14" spans="1:7" s="2" customFormat="1" x14ac:dyDescent="0.2">
      <c r="B14" s="4" t="s">
        <v>98</v>
      </c>
      <c r="C14" s="2">
        <v>1</v>
      </c>
      <c r="D14" s="9">
        <v>18.39</v>
      </c>
      <c r="E14" s="9">
        <f>PRODUCT(C14,D14)</f>
        <v>18.39</v>
      </c>
      <c r="F14" s="6" t="b">
        <v>0</v>
      </c>
    </row>
    <row r="15" spans="1:7" x14ac:dyDescent="0.2">
      <c r="A15" t="s">
        <v>6</v>
      </c>
    </row>
    <row r="16" spans="1:7" x14ac:dyDescent="0.2">
      <c r="B16" s="7" t="s">
        <v>54</v>
      </c>
      <c r="C16">
        <v>1</v>
      </c>
      <c r="D16" s="8">
        <v>16.59</v>
      </c>
      <c r="E16" s="8">
        <f t="shared" ref="E16:E29" si="1">PRODUCT(C16,D16)</f>
        <v>16.59</v>
      </c>
      <c r="F16" s="5" t="b">
        <v>0</v>
      </c>
    </row>
    <row r="17" spans="1:7" x14ac:dyDescent="0.2">
      <c r="B17" s="7" t="s">
        <v>7</v>
      </c>
      <c r="C17">
        <v>4</v>
      </c>
      <c r="D17" s="8">
        <v>15</v>
      </c>
      <c r="E17" s="8">
        <f t="shared" si="1"/>
        <v>60</v>
      </c>
      <c r="F17" s="5" t="b">
        <v>0</v>
      </c>
    </row>
    <row r="18" spans="1:7" x14ac:dyDescent="0.2">
      <c r="B18" s="7" t="s">
        <v>23</v>
      </c>
      <c r="C18">
        <v>1</v>
      </c>
      <c r="D18" s="8">
        <v>6.99</v>
      </c>
      <c r="E18" s="8">
        <f t="shared" si="1"/>
        <v>6.99</v>
      </c>
      <c r="F18" s="5" t="b">
        <v>0</v>
      </c>
    </row>
    <row r="19" spans="1:7" x14ac:dyDescent="0.2">
      <c r="B19" s="7" t="s">
        <v>93</v>
      </c>
      <c r="C19">
        <v>8</v>
      </c>
      <c r="D19" s="8">
        <v>17.02</v>
      </c>
      <c r="E19" s="8">
        <f t="shared" si="1"/>
        <v>136.16</v>
      </c>
      <c r="F19" s="5" t="b">
        <v>0</v>
      </c>
    </row>
    <row r="20" spans="1:7" x14ac:dyDescent="0.2">
      <c r="B20" s="7" t="s">
        <v>92</v>
      </c>
      <c r="C20">
        <v>2</v>
      </c>
      <c r="D20" s="8">
        <v>19.989999999999998</v>
      </c>
      <c r="E20" s="8">
        <f t="shared" si="1"/>
        <v>39.979999999999997</v>
      </c>
      <c r="F20" s="5" t="b">
        <v>0</v>
      </c>
      <c r="G20" t="s">
        <v>94</v>
      </c>
    </row>
    <row r="21" spans="1:7" x14ac:dyDescent="0.2">
      <c r="B21" s="7" t="s">
        <v>8</v>
      </c>
      <c r="C21">
        <v>1</v>
      </c>
      <c r="D21" s="8">
        <v>8.99</v>
      </c>
      <c r="E21" s="8">
        <f t="shared" si="1"/>
        <v>8.99</v>
      </c>
      <c r="F21" s="5" t="b">
        <v>0</v>
      </c>
    </row>
    <row r="22" spans="1:7" x14ac:dyDescent="0.2">
      <c r="B22" s="7" t="s">
        <v>9</v>
      </c>
      <c r="C22">
        <v>1</v>
      </c>
      <c r="D22" s="8">
        <v>40.99</v>
      </c>
      <c r="E22" s="8">
        <f t="shared" si="1"/>
        <v>40.99</v>
      </c>
      <c r="F22" s="5" t="b">
        <v>0</v>
      </c>
    </row>
    <row r="23" spans="1:7" x14ac:dyDescent="0.2">
      <c r="B23" s="7" t="s">
        <v>10</v>
      </c>
      <c r="C23">
        <v>1</v>
      </c>
      <c r="D23" s="8">
        <v>32.99</v>
      </c>
      <c r="E23" s="8">
        <f t="shared" si="1"/>
        <v>32.99</v>
      </c>
      <c r="F23" s="5" t="b">
        <v>0</v>
      </c>
    </row>
    <row r="24" spans="1:7" x14ac:dyDescent="0.2">
      <c r="B24" s="7" t="s">
        <v>19</v>
      </c>
      <c r="C24">
        <v>1</v>
      </c>
      <c r="D24" s="8">
        <v>25.99</v>
      </c>
      <c r="E24" s="8">
        <f t="shared" si="1"/>
        <v>25.99</v>
      </c>
      <c r="F24" s="5" t="b">
        <v>0</v>
      </c>
    </row>
    <row r="25" spans="1:7" x14ac:dyDescent="0.2">
      <c r="B25" s="7" t="s">
        <v>20</v>
      </c>
      <c r="C25">
        <v>1</v>
      </c>
      <c r="D25" s="8">
        <v>12.98</v>
      </c>
      <c r="E25" s="8">
        <f t="shared" si="1"/>
        <v>12.98</v>
      </c>
      <c r="F25" s="5" t="b">
        <v>0</v>
      </c>
    </row>
    <row r="26" spans="1:7" x14ac:dyDescent="0.2">
      <c r="B26" s="7" t="s">
        <v>21</v>
      </c>
      <c r="C26">
        <v>1</v>
      </c>
      <c r="D26" s="8">
        <v>13.98</v>
      </c>
      <c r="E26" s="8">
        <f t="shared" si="1"/>
        <v>13.98</v>
      </c>
      <c r="F26" s="5" t="b">
        <v>0</v>
      </c>
    </row>
    <row r="27" spans="1:7" x14ac:dyDescent="0.2">
      <c r="B27" s="7" t="s">
        <v>51</v>
      </c>
      <c r="C27">
        <v>1</v>
      </c>
      <c r="D27" s="8">
        <v>8.49</v>
      </c>
      <c r="E27" s="8">
        <f t="shared" si="1"/>
        <v>8.49</v>
      </c>
      <c r="F27" s="5" t="b">
        <v>0</v>
      </c>
      <c r="G27" t="s">
        <v>57</v>
      </c>
    </row>
    <row r="28" spans="1:7" x14ac:dyDescent="0.2">
      <c r="B28" s="7" t="s">
        <v>38</v>
      </c>
      <c r="C28">
        <v>1</v>
      </c>
      <c r="D28" s="8">
        <v>7.99</v>
      </c>
      <c r="E28" s="8">
        <f t="shared" si="1"/>
        <v>7.99</v>
      </c>
      <c r="F28" s="5" t="b">
        <v>0</v>
      </c>
    </row>
    <row r="29" spans="1:7" x14ac:dyDescent="0.2">
      <c r="B29" s="7" t="s">
        <v>35</v>
      </c>
      <c r="C29">
        <v>1</v>
      </c>
      <c r="D29" s="8">
        <v>6.99</v>
      </c>
      <c r="E29" s="8">
        <f t="shared" si="1"/>
        <v>6.99</v>
      </c>
      <c r="F29" s="5" t="b">
        <v>0</v>
      </c>
    </row>
    <row r="30" spans="1:7" s="2" customFormat="1" x14ac:dyDescent="0.2">
      <c r="A30" s="2" t="s">
        <v>14</v>
      </c>
    </row>
    <row r="31" spans="1:7" s="2" customFormat="1" x14ac:dyDescent="0.2">
      <c r="B31" s="4" t="s">
        <v>15</v>
      </c>
      <c r="C31" s="2">
        <v>1</v>
      </c>
      <c r="D31" s="9">
        <v>31.26</v>
      </c>
      <c r="E31" s="9">
        <f t="shared" ref="E31:E37" si="2">PRODUCT(C31,D31)</f>
        <v>31.26</v>
      </c>
      <c r="F31" s="6" t="b">
        <v>0</v>
      </c>
    </row>
    <row r="32" spans="1:7" s="2" customFormat="1" x14ac:dyDescent="0.2">
      <c r="B32" s="4" t="s">
        <v>16</v>
      </c>
      <c r="C32" s="2">
        <v>1</v>
      </c>
      <c r="D32" s="9">
        <v>28.54</v>
      </c>
      <c r="E32" s="9">
        <f t="shared" si="2"/>
        <v>28.54</v>
      </c>
      <c r="F32" s="6" t="b">
        <v>0</v>
      </c>
    </row>
    <row r="33" spans="1:7" s="2" customFormat="1" x14ac:dyDescent="0.2">
      <c r="B33" s="4" t="s">
        <v>17</v>
      </c>
      <c r="C33" s="2">
        <v>1</v>
      </c>
      <c r="D33" s="9">
        <v>129.99</v>
      </c>
      <c r="E33" s="9">
        <f t="shared" si="2"/>
        <v>129.99</v>
      </c>
      <c r="F33" s="6" t="b">
        <v>0</v>
      </c>
    </row>
    <row r="34" spans="1:7" s="2" customFormat="1" x14ac:dyDescent="0.2">
      <c r="B34" s="4" t="s">
        <v>52</v>
      </c>
      <c r="C34" s="2">
        <v>1</v>
      </c>
      <c r="D34" s="9">
        <v>50</v>
      </c>
      <c r="E34" s="9">
        <f t="shared" si="2"/>
        <v>50</v>
      </c>
      <c r="F34" s="6" t="b">
        <v>0</v>
      </c>
    </row>
    <row r="35" spans="1:7" s="2" customFormat="1" x14ac:dyDescent="0.2">
      <c r="B35" s="4" t="s">
        <v>18</v>
      </c>
      <c r="C35" s="2">
        <v>1</v>
      </c>
      <c r="D35" s="9">
        <v>8.99</v>
      </c>
      <c r="E35" s="9">
        <f t="shared" si="2"/>
        <v>8.99</v>
      </c>
      <c r="F35" s="6" t="b">
        <v>0</v>
      </c>
    </row>
    <row r="36" spans="1:7" s="2" customFormat="1" x14ac:dyDescent="0.2">
      <c r="B36" s="4" t="s">
        <v>36</v>
      </c>
      <c r="C36" s="2">
        <v>1</v>
      </c>
      <c r="D36" s="9">
        <v>39.99</v>
      </c>
      <c r="E36" s="9">
        <f t="shared" si="2"/>
        <v>39.99</v>
      </c>
      <c r="F36" s="6" t="b">
        <v>0</v>
      </c>
    </row>
    <row r="37" spans="1:7" s="2" customFormat="1" x14ac:dyDescent="0.2">
      <c r="B37" s="4" t="s">
        <v>37</v>
      </c>
      <c r="C37" s="2">
        <v>1</v>
      </c>
      <c r="D37" s="9">
        <v>15</v>
      </c>
      <c r="E37" s="9">
        <f t="shared" si="2"/>
        <v>15</v>
      </c>
      <c r="F37" s="6" t="b">
        <v>0</v>
      </c>
    </row>
    <row r="38" spans="1:7" x14ac:dyDescent="0.2">
      <c r="A38" t="s">
        <v>22</v>
      </c>
      <c r="D38" s="1"/>
    </row>
    <row r="39" spans="1:7" x14ac:dyDescent="0.2">
      <c r="B39" s="7" t="s">
        <v>29</v>
      </c>
      <c r="C39">
        <v>4</v>
      </c>
      <c r="D39" s="8">
        <v>12.99</v>
      </c>
      <c r="E39" s="8">
        <f t="shared" ref="E39:E45" si="3">PRODUCT(C39,D39)</f>
        <v>51.96</v>
      </c>
      <c r="F39" s="5" t="b">
        <v>0</v>
      </c>
    </row>
    <row r="40" spans="1:7" x14ac:dyDescent="0.2">
      <c r="B40" s="7" t="s">
        <v>30</v>
      </c>
      <c r="C40">
        <v>4</v>
      </c>
      <c r="D40" s="8">
        <v>15.6</v>
      </c>
      <c r="E40" s="8">
        <f t="shared" si="3"/>
        <v>62.4</v>
      </c>
      <c r="F40" s="5" t="b">
        <v>0</v>
      </c>
    </row>
    <row r="41" spans="1:7" x14ac:dyDescent="0.2">
      <c r="B41" s="7" t="s">
        <v>31</v>
      </c>
      <c r="C41">
        <v>1</v>
      </c>
      <c r="D41" s="8">
        <v>6.99</v>
      </c>
      <c r="E41" s="8">
        <f t="shared" si="3"/>
        <v>6.99</v>
      </c>
      <c r="F41" s="5" t="b">
        <v>0</v>
      </c>
    </row>
    <row r="42" spans="1:7" x14ac:dyDescent="0.2">
      <c r="B42" s="7" t="s">
        <v>39</v>
      </c>
      <c r="C42">
        <v>1</v>
      </c>
      <c r="D42" s="8">
        <v>13.99</v>
      </c>
      <c r="E42" s="8">
        <f t="shared" si="3"/>
        <v>13.99</v>
      </c>
      <c r="F42" s="5" t="b">
        <v>0</v>
      </c>
    </row>
    <row r="43" spans="1:7" s="2" customFormat="1" x14ac:dyDescent="0.2">
      <c r="A43" s="2" t="s">
        <v>26</v>
      </c>
    </row>
    <row r="44" spans="1:7" s="2" customFormat="1" x14ac:dyDescent="0.2">
      <c r="B44" s="4" t="s">
        <v>32</v>
      </c>
      <c r="C44" s="2">
        <v>1</v>
      </c>
      <c r="D44" s="9">
        <v>22.99</v>
      </c>
      <c r="E44" s="9">
        <f t="shared" si="3"/>
        <v>22.99</v>
      </c>
      <c r="F44" s="6" t="b">
        <v>0</v>
      </c>
      <c r="G44" s="4" t="s">
        <v>56</v>
      </c>
    </row>
    <row r="45" spans="1:7" s="2" customFormat="1" x14ac:dyDescent="0.2">
      <c r="B45" s="4" t="s">
        <v>27</v>
      </c>
      <c r="C45" s="2">
        <v>1</v>
      </c>
      <c r="D45" s="9">
        <v>12.99</v>
      </c>
      <c r="E45" s="9">
        <f t="shared" si="3"/>
        <v>12.99</v>
      </c>
      <c r="F45" s="6" t="b">
        <v>0</v>
      </c>
    </row>
    <row r="46" spans="1:7" x14ac:dyDescent="0.2">
      <c r="A46" t="s">
        <v>13</v>
      </c>
    </row>
    <row r="47" spans="1:7" x14ac:dyDescent="0.2">
      <c r="B47" s="7" t="s">
        <v>11</v>
      </c>
      <c r="C47">
        <v>1</v>
      </c>
      <c r="D47" s="8">
        <v>7.59</v>
      </c>
      <c r="E47" s="8">
        <f>PRODUCT(C47,D47)</f>
        <v>7.59</v>
      </c>
      <c r="F47" s="5" t="b">
        <v>0</v>
      </c>
      <c r="G47" t="s">
        <v>58</v>
      </c>
    </row>
    <row r="48" spans="1:7" x14ac:dyDescent="0.2">
      <c r="B48" s="7" t="s">
        <v>59</v>
      </c>
      <c r="C48">
        <v>2</v>
      </c>
      <c r="D48" s="8">
        <v>11.99</v>
      </c>
      <c r="E48" s="8">
        <f>PRODUCT(C48,D48)</f>
        <v>23.98</v>
      </c>
      <c r="F48" s="5" t="b">
        <v>0</v>
      </c>
      <c r="G48" t="s">
        <v>58</v>
      </c>
    </row>
    <row r="49" spans="1:7" x14ac:dyDescent="0.2">
      <c r="B49" s="7" t="s">
        <v>12</v>
      </c>
      <c r="C49">
        <v>1</v>
      </c>
      <c r="D49" s="8">
        <v>7.99</v>
      </c>
      <c r="E49" s="8">
        <f>PRODUCT(C49,D49)</f>
        <v>7.99</v>
      </c>
      <c r="F49" s="5" t="b">
        <v>0</v>
      </c>
      <c r="G49" t="s">
        <v>58</v>
      </c>
    </row>
    <row r="50" spans="1:7" x14ac:dyDescent="0.2">
      <c r="B50" s="7" t="s">
        <v>34</v>
      </c>
      <c r="C50">
        <v>1</v>
      </c>
      <c r="D50" s="8">
        <v>9.99</v>
      </c>
      <c r="E50" s="8">
        <f>PRODUCT(C50,D50)</f>
        <v>9.99</v>
      </c>
      <c r="F50" s="5" t="b">
        <v>0</v>
      </c>
    </row>
    <row r="51" spans="1:7" x14ac:dyDescent="0.2">
      <c r="B51" s="7" t="s">
        <v>96</v>
      </c>
      <c r="C51">
        <v>1</v>
      </c>
      <c r="D51" s="8">
        <v>14.49</v>
      </c>
      <c r="E51" s="8">
        <f>PRODUCT(C51,D51)</f>
        <v>14.49</v>
      </c>
      <c r="F51" s="5" t="b">
        <v>0</v>
      </c>
    </row>
    <row r="52" spans="1:7" s="2" customFormat="1" x14ac:dyDescent="0.2">
      <c r="A52" s="2" t="s">
        <v>60</v>
      </c>
      <c r="B52" s="10" t="s">
        <v>91</v>
      </c>
    </row>
    <row r="53" spans="1:7" s="2" customFormat="1" x14ac:dyDescent="0.2">
      <c r="B53" s="2" t="s">
        <v>61</v>
      </c>
      <c r="C53" s="2">
        <v>16</v>
      </c>
    </row>
    <row r="54" spans="1:7" s="2" customFormat="1" x14ac:dyDescent="0.2">
      <c r="B54" s="2" t="s">
        <v>62</v>
      </c>
      <c r="C54" s="2">
        <v>4</v>
      </c>
    </row>
    <row r="55" spans="1:7" s="2" customFormat="1" x14ac:dyDescent="0.2">
      <c r="B55" s="2" t="s">
        <v>63</v>
      </c>
      <c r="C55" s="2">
        <v>8</v>
      </c>
    </row>
    <row r="56" spans="1:7" s="2" customFormat="1" x14ac:dyDescent="0.2">
      <c r="B56" s="2" t="s">
        <v>64</v>
      </c>
      <c r="C56" s="2">
        <v>8</v>
      </c>
    </row>
    <row r="57" spans="1:7" s="2" customFormat="1" x14ac:dyDescent="0.2">
      <c r="B57" s="2" t="s">
        <v>65</v>
      </c>
      <c r="C57" s="2">
        <v>8</v>
      </c>
    </row>
    <row r="58" spans="1:7" s="2" customFormat="1" x14ac:dyDescent="0.2">
      <c r="B58" s="2" t="s">
        <v>66</v>
      </c>
      <c r="C58" s="2">
        <v>16</v>
      </c>
    </row>
    <row r="59" spans="1:7" s="2" customFormat="1" x14ac:dyDescent="0.2">
      <c r="B59" s="2" t="s">
        <v>67</v>
      </c>
      <c r="C59" s="2">
        <v>12</v>
      </c>
    </row>
    <row r="60" spans="1:7" s="2" customFormat="1" x14ac:dyDescent="0.2">
      <c r="B60" s="2" t="s">
        <v>68</v>
      </c>
      <c r="C60" s="2">
        <v>8</v>
      </c>
    </row>
    <row r="61" spans="1:7" s="2" customFormat="1" x14ac:dyDescent="0.2">
      <c r="B61" s="2" t="s">
        <v>69</v>
      </c>
      <c r="C61" s="2">
        <v>56</v>
      </c>
    </row>
    <row r="62" spans="1:7" s="2" customFormat="1" x14ac:dyDescent="0.2">
      <c r="B62" s="2" t="s">
        <v>70</v>
      </c>
      <c r="C62" s="2">
        <v>8</v>
      </c>
    </row>
    <row r="63" spans="1:7" s="2" customFormat="1" x14ac:dyDescent="0.2">
      <c r="B63" s="2" t="s">
        <v>71</v>
      </c>
      <c r="C63" s="2">
        <v>2</v>
      </c>
    </row>
    <row r="64" spans="1:7" s="2" customFormat="1" x14ac:dyDescent="0.2">
      <c r="B64" s="2" t="s">
        <v>72</v>
      </c>
      <c r="C64" s="2">
        <v>3</v>
      </c>
    </row>
    <row r="65" spans="2:3" s="2" customFormat="1" x14ac:dyDescent="0.2">
      <c r="B65" s="2" t="s">
        <v>73</v>
      </c>
      <c r="C65" s="2">
        <v>4</v>
      </c>
    </row>
    <row r="66" spans="2:3" s="2" customFormat="1" x14ac:dyDescent="0.2">
      <c r="B66" s="2" t="s">
        <v>74</v>
      </c>
      <c r="C66" s="2">
        <v>5</v>
      </c>
    </row>
    <row r="67" spans="2:3" s="2" customFormat="1" x14ac:dyDescent="0.2">
      <c r="B67" s="2" t="s">
        <v>75</v>
      </c>
      <c r="C67" s="2">
        <v>28</v>
      </c>
    </row>
    <row r="68" spans="2:3" s="2" customFormat="1" x14ac:dyDescent="0.2">
      <c r="B68" s="2" t="s">
        <v>76</v>
      </c>
      <c r="C68" s="2">
        <v>5</v>
      </c>
    </row>
    <row r="69" spans="2:3" s="2" customFormat="1" x14ac:dyDescent="0.2">
      <c r="B69" s="2" t="s">
        <v>77</v>
      </c>
      <c r="C69" s="2">
        <v>6</v>
      </c>
    </row>
    <row r="70" spans="2:3" s="2" customFormat="1" x14ac:dyDescent="0.2">
      <c r="B70" s="2" t="s">
        <v>78</v>
      </c>
      <c r="C70" s="2">
        <v>42</v>
      </c>
    </row>
    <row r="71" spans="2:3" s="2" customFormat="1" x14ac:dyDescent="0.2">
      <c r="B71" s="2" t="s">
        <v>79</v>
      </c>
      <c r="C71" s="2">
        <v>24</v>
      </c>
    </row>
    <row r="72" spans="2:3" s="2" customFormat="1" x14ac:dyDescent="0.2">
      <c r="B72" s="2" t="s">
        <v>80</v>
      </c>
      <c r="C72" s="2">
        <v>16</v>
      </c>
    </row>
    <row r="73" spans="2:3" s="2" customFormat="1" x14ac:dyDescent="0.2">
      <c r="B73" s="2" t="s">
        <v>81</v>
      </c>
      <c r="C73" s="2">
        <v>108</v>
      </c>
    </row>
    <row r="74" spans="2:3" s="2" customFormat="1" x14ac:dyDescent="0.2">
      <c r="B74" s="2" t="s">
        <v>82</v>
      </c>
      <c r="C74" s="2">
        <v>6</v>
      </c>
    </row>
    <row r="75" spans="2:3" s="2" customFormat="1" x14ac:dyDescent="0.2">
      <c r="B75" s="2" t="s">
        <v>83</v>
      </c>
      <c r="C75" s="2">
        <v>2</v>
      </c>
    </row>
    <row r="76" spans="2:3" s="2" customFormat="1" x14ac:dyDescent="0.2">
      <c r="B76" s="2" t="s">
        <v>90</v>
      </c>
      <c r="C76" s="2">
        <v>4</v>
      </c>
    </row>
    <row r="77" spans="2:3" s="2" customFormat="1" x14ac:dyDescent="0.2">
      <c r="B77" s="2" t="s">
        <v>89</v>
      </c>
      <c r="C77" s="2">
        <v>9</v>
      </c>
    </row>
    <row r="78" spans="2:3" s="2" customFormat="1" x14ac:dyDescent="0.2">
      <c r="B78" s="2" t="s">
        <v>88</v>
      </c>
      <c r="C78" s="2">
        <v>5</v>
      </c>
    </row>
    <row r="79" spans="2:3" s="2" customFormat="1" x14ac:dyDescent="0.2">
      <c r="B79" s="2" t="s">
        <v>84</v>
      </c>
      <c r="C79" s="2">
        <v>32</v>
      </c>
    </row>
    <row r="80" spans="2:3" s="2" customFormat="1" x14ac:dyDescent="0.2">
      <c r="B80" s="2" t="s">
        <v>87</v>
      </c>
      <c r="C80" s="2">
        <v>41</v>
      </c>
    </row>
    <row r="81" spans="2:5" s="2" customFormat="1" x14ac:dyDescent="0.2">
      <c r="B81" s="2" t="s">
        <v>85</v>
      </c>
      <c r="C81" s="2">
        <v>3</v>
      </c>
    </row>
    <row r="82" spans="2:5" s="2" customFormat="1" x14ac:dyDescent="0.2">
      <c r="B82" s="2" t="s">
        <v>86</v>
      </c>
      <c r="C82" s="2">
        <v>18</v>
      </c>
    </row>
    <row r="87" spans="2:5" x14ac:dyDescent="0.2">
      <c r="D87" t="s">
        <v>24</v>
      </c>
      <c r="E87" s="8">
        <f>SUM(E3:E50)</f>
        <v>1414.0200000000002</v>
      </c>
    </row>
    <row r="88" spans="2:5" x14ac:dyDescent="0.2">
      <c r="D88" t="s">
        <v>25</v>
      </c>
      <c r="E88" s="8">
        <f>E87-SUMIFS(E3:E50, F3:F50, TRUE)</f>
        <v>1414.0200000000002</v>
      </c>
    </row>
  </sheetData>
  <hyperlinks>
    <hyperlink ref="B4" r:id="rId1" xr:uid="{09FFB70A-3224-A24B-9C8D-90A7E8F474FD}"/>
    <hyperlink ref="B5" r:id="rId2" xr:uid="{BB052444-AC48-6A45-BC24-03F00A785F85}"/>
    <hyperlink ref="B6" r:id="rId3" xr:uid="{2A24A270-F7F1-CC42-9583-E53F7577504F}"/>
    <hyperlink ref="B7" r:id="rId4" xr:uid="{ED78C590-447A-2C4E-9CA5-5356A54495B4}"/>
    <hyperlink ref="B9" r:id="rId5" xr:uid="{C31F65E9-4B9B-1143-935B-80228575C13E}"/>
    <hyperlink ref="B10" r:id="rId6" xr:uid="{980B0B67-CA2D-FC4B-9EB8-7D45AB91FCF1}"/>
    <hyperlink ref="B12" r:id="rId7" xr:uid="{16030809-D596-0745-B4F9-8756E560ED24}"/>
    <hyperlink ref="B13" r:id="rId8" xr:uid="{9017FB47-6D84-144C-80D1-40A0990CDE60}"/>
    <hyperlink ref="B16" r:id="rId9" xr:uid="{C211CD47-7BEC-4C49-98B5-E6180111E08F}"/>
    <hyperlink ref="B17" r:id="rId10" xr:uid="{8EE96F24-63A2-9B4E-AD9C-72620609C969}"/>
    <hyperlink ref="B18" r:id="rId11" xr:uid="{E559603D-F3D2-174F-A94A-47CA4046C818}"/>
    <hyperlink ref="B19" r:id="rId12" display="MGN12H 350MM" xr:uid="{223BCBA6-86A9-2144-8F2C-75C9B68057A0}"/>
    <hyperlink ref="B21" r:id="rId13" xr:uid="{D8513075-F571-2C4B-95FA-1016C3C29CEE}"/>
    <hyperlink ref="B22" r:id="rId14" xr:uid="{3FFBA4CD-8F94-EE42-B36C-B1CC4968A446}"/>
    <hyperlink ref="B23" r:id="rId15" xr:uid="{D57C98A0-3DAC-7C4D-90F4-7BD33AEF0B08}"/>
    <hyperlink ref="B24" r:id="rId16" xr:uid="{9464945C-9434-F94D-9B05-F9F116CDF1BB}"/>
    <hyperlink ref="B25" r:id="rId17" xr:uid="{8DB43896-FA61-0A47-9375-98EEB379F425}"/>
    <hyperlink ref="B26" r:id="rId18" xr:uid="{841DF760-DB22-B248-AF7E-21C6498CC9EE}"/>
    <hyperlink ref="B27" r:id="rId19" xr:uid="{8D0DD199-FCDD-BE4C-8428-62EEC2391CD4}"/>
    <hyperlink ref="B28" r:id="rId20" xr:uid="{B2A7B9FB-F184-3643-A1E3-1A39F55CB90F}"/>
    <hyperlink ref="B29" r:id="rId21" xr:uid="{D71855D8-9C7C-4841-9CF0-F3F6EDA6947F}"/>
    <hyperlink ref="B31" r:id="rId22" xr:uid="{F2098D89-359C-7B46-B857-24FDB225BC5C}"/>
    <hyperlink ref="B32" r:id="rId23" xr:uid="{D9FA7A25-2ABB-A348-9EAA-6A0BD7AC274A}"/>
    <hyperlink ref="B33" r:id="rId24" xr:uid="{ADF328AB-1FC0-EF44-AE87-5623AF89980A}"/>
    <hyperlink ref="B34" r:id="rId25" xr:uid="{A14C6C7F-568D-6B44-985D-3F56EC4114E5}"/>
    <hyperlink ref="B35" r:id="rId26" xr:uid="{2A305941-7ADB-1B4B-A74E-A642B558D874}"/>
    <hyperlink ref="B36" r:id="rId27" xr:uid="{BDC9F487-FCC2-A348-A761-8BD99493C513}"/>
    <hyperlink ref="B37" r:id="rId28" xr:uid="{988EFBD5-F8D7-8548-A6D9-39C452C56754}"/>
    <hyperlink ref="B39" r:id="rId29" xr:uid="{E8C38802-504C-C349-926C-8B88345343A7}"/>
    <hyperlink ref="B40" r:id="rId30" xr:uid="{1D4F1698-43C2-F743-9931-BE4792783BF3}"/>
    <hyperlink ref="B41" r:id="rId31" xr:uid="{1C2B42C2-8289-9B46-98D8-1A365CDC6E78}"/>
    <hyperlink ref="B42" r:id="rId32" xr:uid="{3E30D6F6-C1DA-8E4F-BBD5-0E83580163D5}"/>
    <hyperlink ref="B44" r:id="rId33" xr:uid="{32765079-8A55-E145-8E73-CD39487A166B}"/>
    <hyperlink ref="B45" r:id="rId34" xr:uid="{B14474BD-C9E7-DE4A-9C73-4B99DF8F334B}"/>
    <hyperlink ref="B47" r:id="rId35" xr:uid="{FC871B89-1511-C64D-97C7-92774D760E18}"/>
    <hyperlink ref="B48" r:id="rId36" display="M3 heat inserts 500ct" xr:uid="{ED1CE362-166F-FE48-87E8-AA349BB642C2}"/>
    <hyperlink ref="B49" r:id="rId37" xr:uid="{0FA132B0-22D4-6B46-A5F1-39C8708362AA}"/>
    <hyperlink ref="B50" r:id="rId38" xr:uid="{C816B0DB-70B2-0940-A4A6-8E45792C06B1}"/>
    <hyperlink ref="G44" r:id="rId39" display="Nicer option here" xr:uid="{19AD8014-89EF-0E4F-AE22-5CAE74DBE606}"/>
    <hyperlink ref="B20" r:id="rId40" xr:uid="{426B2FB9-0E94-9649-B1BB-038564564347}"/>
    <hyperlink ref="B51" r:id="rId41" xr:uid="{FC1CC4D9-5B92-E746-AED6-8B6B2A9B2F4B}"/>
    <hyperlink ref="B14" r:id="rId42" xr:uid="{538BF64F-4CCC-F349-882A-A7E2A969C667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Deister</dc:creator>
  <cp:lastModifiedBy>Aaron Deister</cp:lastModifiedBy>
  <dcterms:created xsi:type="dcterms:W3CDTF">2026-01-12T06:49:13Z</dcterms:created>
  <dcterms:modified xsi:type="dcterms:W3CDTF">2026-03-01T01:13:57Z</dcterms:modified>
</cp:coreProperties>
</file>